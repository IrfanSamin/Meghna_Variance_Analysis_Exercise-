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igital Outlet\Downloads\"/>
    </mc:Choice>
  </mc:AlternateContent>
  <xr:revisionPtr revIDLastSave="0" documentId="13_ncr:1_{82BA09EC-1648-4066-85AB-AC90EB28E2C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Variance Analysis" sheetId="1" r:id="rId1"/>
  </sheets>
  <definedNames>
    <definedName name="_xlchart.v1.0" hidden="1">'Variance Analysis'!$B$9:$B$13</definedName>
    <definedName name="_xlchart.v1.1" hidden="1">'Variance Analysis'!$C$9:$C$13</definedName>
    <definedName name="_xlchart.v1.2" hidden="1">'Variance Analysis'!$D$9:$D$13</definedName>
    <definedName name="_xlchart.v1.3" hidden="1">'Variance Analysis'!$E$9:$E$13</definedName>
    <definedName name="_xlchart.v1.4" hidden="1">'Variance Analysis'!$B$9:$B$13</definedName>
    <definedName name="_xlchart.v1.5" hidden="1">'Variance Analysis'!$C$9:$C$13</definedName>
    <definedName name="_xlchart.v1.6" hidden="1">'Variance Analysis'!$D$9:$D$13</definedName>
    <definedName name="_xlchart.v1.7" hidden="1">'Variance Analysis'!$E$9:$E$13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1" i="1" l="1"/>
  <c r="D41" i="1"/>
  <c r="C41" i="1"/>
  <c r="D52" i="1" s="1"/>
  <c r="E40" i="1"/>
  <c r="D40" i="1"/>
  <c r="C40" i="1"/>
  <c r="C52" i="1" s="1"/>
  <c r="E38" i="1"/>
  <c r="D38" i="1"/>
  <c r="C38" i="1"/>
  <c r="E35" i="1"/>
  <c r="D35" i="1"/>
  <c r="C35" i="1"/>
  <c r="E32" i="1"/>
  <c r="D32" i="1"/>
  <c r="C32" i="1"/>
  <c r="E29" i="1"/>
  <c r="E42" i="1" s="1"/>
  <c r="D29" i="1"/>
  <c r="C29" i="1"/>
  <c r="E22" i="1"/>
  <c r="D22" i="1"/>
  <c r="C22" i="1"/>
  <c r="E21" i="1"/>
  <c r="D21" i="1"/>
  <c r="C21" i="1"/>
  <c r="E16" i="1"/>
  <c r="E18" i="1" s="1"/>
  <c r="D16" i="1"/>
  <c r="C16" i="1"/>
  <c r="E15" i="1"/>
  <c r="D15" i="1"/>
  <c r="D18" i="1" s="1"/>
  <c r="C15" i="1"/>
  <c r="D42" i="1" l="1"/>
  <c r="C18" i="1"/>
  <c r="C23" i="1" s="1"/>
  <c r="E23" i="1"/>
  <c r="C49" i="1"/>
  <c r="C50" i="1" s="1"/>
  <c r="C42" i="1"/>
  <c r="D49" i="1"/>
  <c r="D50" i="1" s="1"/>
  <c r="E52" i="1"/>
  <c r="D23" i="1"/>
  <c r="D19" i="1"/>
  <c r="E19" i="1"/>
  <c r="C19" i="1" l="1"/>
  <c r="D51" i="1"/>
  <c r="C51" i="1"/>
  <c r="C53" i="1" s="1"/>
  <c r="C54" i="1" s="1"/>
  <c r="E50" i="1"/>
  <c r="E49" i="1"/>
  <c r="D53" i="1"/>
  <c r="D54" i="1" s="1"/>
  <c r="E51" i="1" l="1"/>
  <c r="E53" i="1" s="1"/>
  <c r="E54" i="1" s="1"/>
</calcChain>
</file>

<file path=xl/sharedStrings.xml><?xml version="1.0" encoding="utf-8"?>
<sst xmlns="http://schemas.openxmlformats.org/spreadsheetml/2006/main" count="45" uniqueCount="45">
  <si>
    <t>Meghna Consumer Care Ltd.</t>
  </si>
  <si>
    <t>Jan</t>
  </si>
  <si>
    <t>Feb</t>
  </si>
  <si>
    <t>Mar</t>
  </si>
  <si>
    <t>Volume — Budget ('000 units)</t>
  </si>
  <si>
    <t>Volume — Actual ('000 units)</t>
  </si>
  <si>
    <t>Price — Budget (BDT / unit)</t>
  </si>
  <si>
    <t>Price — Actual (BDT / unit)</t>
  </si>
  <si>
    <t>Revenue — Budget</t>
  </si>
  <si>
    <t>Revenue — Actual</t>
  </si>
  <si>
    <t>Total Revenue Variance (BDT '000)</t>
  </si>
  <si>
    <t>Total Revenue Variance (%)</t>
  </si>
  <si>
    <t>Volume Variance (BDT '000)</t>
  </si>
  <si>
    <t>Price Variance (BDT '000)</t>
  </si>
  <si>
    <t>Check: Volume Var + Price Var = Total Var?</t>
  </si>
  <si>
    <t>OPERATING EXPENSES — BUDGET VS ACTUAL</t>
  </si>
  <si>
    <t>Trade Spend / Promotions — Budget</t>
  </si>
  <si>
    <t>Trade Spend / Promotions — Actual</t>
  </si>
  <si>
    <t>Trade Spend / Promotions — Variance</t>
  </si>
  <si>
    <t>Advertising &amp; Promotion (A&amp;P) — Budget</t>
  </si>
  <si>
    <t>Advertising &amp; Promotion (A&amp;P) — Actual</t>
  </si>
  <si>
    <t>Advertising &amp; Promotion (A&amp;P) — Variance</t>
  </si>
  <si>
    <t>Distribution &amp; Logistics — Budget</t>
  </si>
  <si>
    <t>Distribution &amp; Logistics — Actual</t>
  </si>
  <si>
    <t>Distribution &amp; Logistics — Variance</t>
  </si>
  <si>
    <t>Admin &amp; Overheads — Budget</t>
  </si>
  <si>
    <t>Admin &amp; Overheads — Actual</t>
  </si>
  <si>
    <t>Admin &amp; Overheads — Variance</t>
  </si>
  <si>
    <t>Total Opex — Budget</t>
  </si>
  <si>
    <t>Total Opex — Actual</t>
  </si>
  <si>
    <t>Total Opex — Variance</t>
  </si>
  <si>
    <t>Q1 P&amp;L SUMMARY — BUDGET VS ACTUAL VS VARIANCE</t>
  </si>
  <si>
    <t>Budget</t>
  </si>
  <si>
    <t>Actual</t>
  </si>
  <si>
    <t>Variance</t>
  </si>
  <si>
    <t>COGS (% of Revenue)</t>
  </si>
  <si>
    <t>Revenue</t>
  </si>
  <si>
    <t>Less: COGS</t>
  </si>
  <si>
    <t>Gross Profit</t>
  </si>
  <si>
    <t>Less: Total Opex</t>
  </si>
  <si>
    <t>EBITDA</t>
  </si>
  <si>
    <t>EBITDA Margin (%)</t>
  </si>
  <si>
    <t>Months</t>
  </si>
  <si>
    <t>REVENUE BUILD - BUDGET VS ACTUAL</t>
  </si>
  <si>
    <t>Budget vs Actual Variance Analysis —-Q1 (Jan–Mar)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</si>
</sst>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0.0%;\(0.0%\)"/>
    <numFmt numFmtId="166" formatCode="0.0%"/>
  </numFmts>
  <fonts count="9" x14ac:knownFonts="1">
    <font>
      <sz val="11"/>
      <color theme="1"/>
      <name val="Calibri"/>
      <family val="2"/>
      <scheme val="minor"/>
    </font>
    <font>
      <b/>
      <sz val="14"/>
      <color rgb="FF1A1A1A"/>
      <name val="Arial"/>
    </font>
    <font>
      <sz val="10"/>
      <color rgb="FF1A1A1A"/>
      <name val="Arial"/>
    </font>
    <font>
      <b/>
      <sz val="10"/>
      <color rgb="FF1A1A1A"/>
      <name val="Arial"/>
    </font>
    <font>
      <sz val="10"/>
      <color rgb="FF1155CC"/>
      <name val="Arial"/>
    </font>
    <font>
      <b/>
      <sz val="11"/>
      <color theme="1"/>
      <name val="Calibri"/>
      <family val="2"/>
      <scheme val="minor"/>
    </font>
    <font>
      <b/>
      <i/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404040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2" applyNumberFormat="0" applyFill="0" applyAlignment="0" applyProtection="0"/>
  </cellStyleXfs>
  <cellXfs count="23">
    <xf numFmtId="0" fontId="0" fillId="0" borderId="0" xfId="0"/>
    <xf numFmtId="0" fontId="1" fillId="0" borderId="0" xfId="0" applyFont="1"/>
    <xf numFmtId="0" fontId="5" fillId="0" borderId="2" xfId="1"/>
    <xf numFmtId="3" fontId="5" fillId="0" borderId="2" xfId="1" applyNumberFormat="1" applyAlignment="1">
      <alignment horizontal="right"/>
    </xf>
    <xf numFmtId="164" fontId="5" fillId="0" borderId="2" xfId="1" applyNumberFormat="1" applyAlignment="1">
      <alignment horizontal="right"/>
    </xf>
    <xf numFmtId="0" fontId="8" fillId="5" borderId="1" xfId="0" applyFont="1" applyFill="1" applyBorder="1"/>
    <xf numFmtId="0" fontId="7" fillId="5" borderId="1" xfId="0" applyFont="1" applyFill="1" applyBorder="1" applyAlignment="1">
      <alignment horizontal="right"/>
    </xf>
    <xf numFmtId="0" fontId="2" fillId="0" borderId="3" xfId="0" applyFont="1" applyBorder="1"/>
    <xf numFmtId="0" fontId="7" fillId="0" borderId="3" xfId="0" applyFont="1" applyBorder="1" applyAlignment="1">
      <alignment horizontal="right"/>
    </xf>
    <xf numFmtId="166" fontId="4" fillId="0" borderId="3" xfId="0" applyNumberFormat="1" applyFont="1" applyBorder="1" applyAlignment="1">
      <alignment horizontal="right"/>
    </xf>
    <xf numFmtId="0" fontId="0" fillId="0" borderId="3" xfId="0" applyBorder="1"/>
    <xf numFmtId="0" fontId="3" fillId="0" borderId="3" xfId="0" applyFont="1" applyBorder="1"/>
    <xf numFmtId="164" fontId="0" fillId="0" borderId="3" xfId="0" applyNumberFormat="1" applyBorder="1" applyAlignment="1">
      <alignment horizontal="right"/>
    </xf>
    <xf numFmtId="165" fontId="0" fillId="0" borderId="3" xfId="0" applyNumberFormat="1" applyBorder="1" applyAlignment="1">
      <alignment horizontal="right"/>
    </xf>
    <xf numFmtId="3" fontId="4" fillId="0" borderId="3" xfId="0" applyNumberFormat="1" applyFont="1" applyBorder="1" applyAlignment="1">
      <alignment horizontal="right"/>
    </xf>
    <xf numFmtId="2" fontId="4" fillId="0" borderId="3" xfId="0" applyNumberFormat="1" applyFont="1" applyBorder="1" applyAlignment="1">
      <alignment horizontal="right"/>
    </xf>
    <xf numFmtId="0" fontId="3" fillId="4" borderId="0" xfId="0" applyFont="1" applyFill="1"/>
    <xf numFmtId="0" fontId="0" fillId="4" borderId="0" xfId="0" applyFill="1"/>
    <xf numFmtId="0" fontId="3" fillId="3" borderId="0" xfId="0" applyFont="1" applyFill="1"/>
    <xf numFmtId="0" fontId="0" fillId="3" borderId="0" xfId="0" applyFill="1"/>
    <xf numFmtId="0" fontId="3" fillId="2" borderId="3" xfId="0" applyFont="1" applyFill="1" applyBorder="1"/>
    <xf numFmtId="0" fontId="0" fillId="2" borderId="3" xfId="0" applyFill="1" applyBorder="1"/>
    <xf numFmtId="0" fontId="6" fillId="0" borderId="0" xfId="0" applyFont="1" applyAlignment="1">
      <alignment horizontal="left"/>
    </xf>
  </cellXfs>
  <cellStyles count="2">
    <cellStyle name="Normal" xfId="0" builtinId="0"/>
    <cellStyle name="Total" xfId="1" builtinId="2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Actual</a:t>
            </a:r>
            <a:r>
              <a:rPr lang="en-US" b="1" baseline="0">
                <a:solidFill>
                  <a:sysClr val="windowText" lastClr="000000"/>
                </a:solidFill>
              </a:rPr>
              <a:t> vs Budget(Revenue)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solidFill>
          <a:schemeClr val="accent3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'Variance Analysis'!$B$15</c:f>
              <c:strCache>
                <c:ptCount val="1"/>
                <c:pt idx="0">
                  <c:v>Revenue — Budget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'Variance Analysis'!$C$15:$E$15</c:f>
              <c:numCache>
                <c:formatCode>#,##0</c:formatCode>
                <c:ptCount val="3"/>
                <c:pt idx="0">
                  <c:v>21000</c:v>
                </c:pt>
                <c:pt idx="1">
                  <c:v>21840</c:v>
                </c:pt>
                <c:pt idx="2">
                  <c:v>23220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EC-4217-B11F-7622D9743AD6}"/>
            </c:ext>
          </c:extLst>
        </c:ser>
        <c:ser>
          <c:idx val="1"/>
          <c:order val="1"/>
          <c:tx>
            <c:strRef>
              <c:f>'Variance Analysis'!$B$16</c:f>
              <c:strCache>
                <c:ptCount val="1"/>
                <c:pt idx="0">
                  <c:v>Revenue — Actual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'Variance Analysis'!$C$16:$E$16</c:f>
              <c:numCache>
                <c:formatCode>#,##0</c:formatCode>
                <c:ptCount val="3"/>
                <c:pt idx="0">
                  <c:v>19680</c:v>
                </c:pt>
                <c:pt idx="1">
                  <c:v>23272.5</c:v>
                </c:pt>
                <c:pt idx="2">
                  <c:v>23800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EC-4217-B11F-7622D9743A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1011512"/>
        <c:axId val="601009352"/>
      </c:barChart>
      <c:catAx>
        <c:axId val="601011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009352"/>
        <c:crosses val="autoZero"/>
        <c:auto val="1"/>
        <c:lblAlgn val="ctr"/>
        <c:lblOffset val="100"/>
        <c:noMultiLvlLbl val="0"/>
      </c:catAx>
      <c:valAx>
        <c:axId val="601009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011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Acutal</a:t>
            </a:r>
            <a:r>
              <a:rPr lang="en-US" b="1" baseline="0">
                <a:solidFill>
                  <a:schemeClr val="tx1"/>
                </a:solidFill>
              </a:rPr>
              <a:t> vs Budget(Opex)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solidFill>
          <a:schemeClr val="accent5">
            <a:lumMod val="40000"/>
            <a:lumOff val="6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38716493175383"/>
          <c:y val="0.2705555555555556"/>
          <c:w val="0.82436775456735167"/>
          <c:h val="0.314760029996250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'Variance Analysis'!$B$40</c:f>
              <c:strCache>
                <c:ptCount val="1"/>
                <c:pt idx="0">
                  <c:v>Total Opex — Budget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'Variance Analysis'!$C$40:$E$40</c:f>
              <c:numCache>
                <c:formatCode>#,##0</c:formatCode>
                <c:ptCount val="3"/>
                <c:pt idx="0">
                  <c:v>3400</c:v>
                </c:pt>
                <c:pt idx="1">
                  <c:v>3470</c:v>
                </c:pt>
                <c:pt idx="2">
                  <c:v>3650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30-4BDF-A999-C73277DD08E6}"/>
            </c:ext>
          </c:extLst>
        </c:ser>
        <c:ser>
          <c:idx val="1"/>
          <c:order val="1"/>
          <c:tx>
            <c:strRef>
              <c:f>'Variance Analysis'!$B$41</c:f>
              <c:strCache>
                <c:ptCount val="1"/>
                <c:pt idx="0">
                  <c:v>Total Opex — Actual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'Variance Analysis'!$C$41:$E$41</c:f>
              <c:numCache>
                <c:formatCode>#,##0</c:formatCode>
                <c:ptCount val="3"/>
                <c:pt idx="0">
                  <c:v>3540</c:v>
                </c:pt>
                <c:pt idx="1">
                  <c:v>3460</c:v>
                </c:pt>
                <c:pt idx="2">
                  <c:v>3850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30-4BDF-A999-C73277DD08E6}"/>
            </c:ext>
          </c:extLst>
        </c:ser>
        <c:ser>
          <c:idx val="2"/>
          <c:order val="2"/>
          <c:tx>
            <c:strRef>
              <c:f>'Variance Analysis'!$B$42</c:f>
              <c:strCache>
                <c:ptCount val="1"/>
                <c:pt idx="0">
                  <c:v>Total Opex — Variance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'Variance Analysis'!$C$42:$E$42</c:f>
              <c:numCache>
                <c:formatCode>#,##0;\(#,##0\)</c:formatCode>
                <c:ptCount val="3"/>
                <c:pt idx="0">
                  <c:v>140</c:v>
                </c:pt>
                <c:pt idx="1">
                  <c:v>-10</c:v>
                </c:pt>
                <c:pt idx="2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30-4BDF-A999-C73277DD08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0817304"/>
        <c:axId val="670814784"/>
      </c:barChart>
      <c:catAx>
        <c:axId val="670817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814784"/>
        <c:crosses val="autoZero"/>
        <c:auto val="1"/>
        <c:lblAlgn val="ctr"/>
        <c:lblOffset val="100"/>
        <c:noMultiLvlLbl val="0"/>
      </c:catAx>
      <c:valAx>
        <c:axId val="67081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817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260151856017999"/>
          <c:y val="0.70051292431633716"/>
          <c:w val="0.75479696287964015"/>
          <c:h val="0.217224864886747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'Variance Analysis'!$B$18</c:f>
              <c:strCache>
                <c:ptCount val="1"/>
                <c:pt idx="0">
                  <c:v>Total Revenue Variance (BDT '000)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val>
            <c:numRef>
              <c:f>'Variance Analysis'!$C$18:$E$18</c:f>
              <c:numCache>
                <c:formatCode>#,##0;\(#,##0\)</c:formatCode>
                <c:ptCount val="3"/>
                <c:pt idx="0">
                  <c:v>-1320</c:v>
                </c:pt>
                <c:pt idx="1">
                  <c:v>1432.5</c:v>
                </c:pt>
                <c:pt idx="2">
                  <c:v>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DD-4960-8026-6D063D82A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1020152"/>
        <c:axId val="601015112"/>
      </c:barChart>
      <c:lineChart>
        <c:grouping val="standard"/>
        <c:varyColors val="0"/>
        <c:ser>
          <c:idx val="1"/>
          <c:order val="1"/>
          <c:tx>
            <c:strRef>
              <c:f>'Variance Analysis'!$B$19</c:f>
              <c:strCache>
                <c:ptCount val="1"/>
                <c:pt idx="0">
                  <c:v>Total Revenue Variance (%)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'Variance Analysis'!$C$19:$E$19</c:f>
              <c:numCache>
                <c:formatCode>0.0%;\(0.0%\)</c:formatCode>
                <c:ptCount val="3"/>
                <c:pt idx="0">
                  <c:v>-6.7073170731707321E-2</c:v>
                </c:pt>
                <c:pt idx="1">
                  <c:v>6.1553335481791815E-2</c:v>
                </c:pt>
                <c:pt idx="2">
                  <c:v>2.4369747899159664E-2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DD-4960-8026-6D063D82A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1012232"/>
        <c:axId val="601018352"/>
      </c:lineChart>
      <c:catAx>
        <c:axId val="601020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015112"/>
        <c:crosses val="autoZero"/>
        <c:auto val="1"/>
        <c:lblAlgn val="ctr"/>
        <c:lblOffset val="100"/>
        <c:noMultiLvlLbl val="0"/>
      </c:catAx>
      <c:valAx>
        <c:axId val="601015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020152"/>
        <c:crosses val="autoZero"/>
        <c:crossBetween val="between"/>
      </c:valAx>
      <c:valAx>
        <c:axId val="601018352"/>
        <c:scaling>
          <c:orientation val="minMax"/>
        </c:scaling>
        <c:delete val="0"/>
        <c:axPos val="r"/>
        <c:numFmt formatCode="0.0%;\(0.0%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012232"/>
        <c:crosses val="max"/>
        <c:crossBetween val="between"/>
      </c:valAx>
      <c:catAx>
        <c:axId val="601012232"/>
        <c:scaling>
          <c:orientation val="minMax"/>
        </c:scaling>
        <c:delete val="1"/>
        <c:axPos val="b"/>
        <c:majorTickMark val="none"/>
        <c:minorTickMark val="none"/>
        <c:tickLblPos val="nextTo"/>
        <c:crossAx val="601018352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349249</xdr:colOff>
      <xdr:row>7</xdr:row>
      <xdr:rowOff>0</xdr:rowOff>
    </xdr:from>
    <xdr:to>
      <xdr:col>10</xdr:col>
      <xdr:colOff>273050</xdr:colOff>
      <xdr:row>16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7940CD-6527-D541-B462-817B0E31DF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372341</xdr:colOff>
      <xdr:row>25</xdr:row>
      <xdr:rowOff>169141</xdr:rowOff>
    </xdr:from>
    <xdr:to>
      <xdr:col>10</xdr:col>
      <xdr:colOff>519546</xdr:colOff>
      <xdr:row>38</xdr:row>
      <xdr:rowOff>92363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20C5461-3A05-3303-3F8B-2B52D4FAEF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431800</xdr:colOff>
      <xdr:row>17</xdr:row>
      <xdr:rowOff>25400</xdr:rowOff>
    </xdr:from>
    <xdr:to>
      <xdr:col>10</xdr:col>
      <xdr:colOff>139700</xdr:colOff>
      <xdr:row>24</xdr:row>
      <xdr:rowOff>12700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6E980B6-AE03-2DE2-5D0B-E0559FDEF3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54"/>
  <sheetViews>
    <sheetView showGridLines="0" tabSelected="1" topLeftCell="A22" zoomScale="70" zoomScaleNormal="70" workbookViewId="0">
      <selection activeCell="C38" sqref="C38"/>
    </sheetView>
  </sheetViews>
  <sheetFormatPr defaultRowHeight="14.5" x14ac:dyDescent="0.35"/>
  <cols>
    <col min="1" max="1" width="2" customWidth="1"/>
    <col min="2" max="2" width="37.26953125" customWidth="1"/>
    <col min="3" max="6" width="13" customWidth="1"/>
    <col min="7" max="7" width="3" customWidth="1"/>
  </cols>
  <sheetData>
    <row r="2" spans="2:5" ht="18" customHeight="1" x14ac:dyDescent="0.4">
      <c r="B2" s="1" t="s">
        <v>0</v>
      </c>
    </row>
    <row r="3" spans="2:5" x14ac:dyDescent="0.35">
      <c r="B3" s="22" t="s">
        <v>44</v>
      </c>
      <c r="C3" s="22"/>
    </row>
    <row r="7" spans="2:5" x14ac:dyDescent="0.35">
      <c r="B7" s="5" t="s">
        <v>42</v>
      </c>
      <c r="C7" s="6" t="s">
        <v>1</v>
      </c>
      <c r="D7" s="6" t="s">
        <v>2</v>
      </c>
      <c r="E7" s="6" t="s">
        <v>3</v>
      </c>
    </row>
    <row r="9" spans="2:5" x14ac:dyDescent="0.35">
      <c r="B9" s="20" t="s">
        <v>43</v>
      </c>
      <c r="C9" s="21"/>
      <c r="D9" s="21"/>
      <c r="E9" s="21"/>
    </row>
    <row r="10" spans="2:5" x14ac:dyDescent="0.35">
      <c r="B10" s="7" t="s">
        <v>4</v>
      </c>
      <c r="C10" s="14">
        <v>500</v>
      </c>
      <c r="D10" s="14">
        <v>520</v>
      </c>
      <c r="E10" s="14">
        <v>540</v>
      </c>
    </row>
    <row r="11" spans="2:5" x14ac:dyDescent="0.35">
      <c r="B11" s="7" t="s">
        <v>5</v>
      </c>
      <c r="C11" s="14">
        <v>480</v>
      </c>
      <c r="D11" s="14">
        <v>535</v>
      </c>
      <c r="E11" s="14">
        <v>560</v>
      </c>
    </row>
    <row r="12" spans="2:5" x14ac:dyDescent="0.35">
      <c r="B12" s="7" t="s">
        <v>6</v>
      </c>
      <c r="C12" s="15">
        <v>42</v>
      </c>
      <c r="D12" s="15">
        <v>42</v>
      </c>
      <c r="E12" s="15">
        <v>43</v>
      </c>
    </row>
    <row r="13" spans="2:5" x14ac:dyDescent="0.35">
      <c r="B13" s="7" t="s">
        <v>7</v>
      </c>
      <c r="C13" s="15">
        <v>41</v>
      </c>
      <c r="D13" s="15">
        <v>43.5</v>
      </c>
      <c r="E13" s="15">
        <v>42.5</v>
      </c>
    </row>
    <row r="15" spans="2:5" ht="15" thickBot="1" x14ac:dyDescent="0.4">
      <c r="B15" s="2" t="s">
        <v>8</v>
      </c>
      <c r="C15" s="3">
        <f t="shared" ref="C15:E16" si="0">C10*C12</f>
        <v>21000</v>
      </c>
      <c r="D15" s="3">
        <f t="shared" si="0"/>
        <v>21840</v>
      </c>
      <c r="E15" s="3">
        <f t="shared" si="0"/>
        <v>23220</v>
      </c>
    </row>
    <row r="16" spans="2:5" ht="15.5" thickTop="1" thickBot="1" x14ac:dyDescent="0.4">
      <c r="B16" s="2" t="s">
        <v>9</v>
      </c>
      <c r="C16" s="3">
        <f t="shared" si="0"/>
        <v>19680</v>
      </c>
      <c r="D16" s="3">
        <f t="shared" si="0"/>
        <v>23272.5</v>
      </c>
      <c r="E16" s="3">
        <f t="shared" si="0"/>
        <v>23800</v>
      </c>
    </row>
    <row r="17" spans="2:5" ht="15" thickTop="1" x14ac:dyDescent="0.35"/>
    <row r="18" spans="2:5" x14ac:dyDescent="0.35">
      <c r="B18" s="7" t="s">
        <v>10</v>
      </c>
      <c r="C18" s="12">
        <f>C16-C15</f>
        <v>-1320</v>
      </c>
      <c r="D18" s="12">
        <f>D16-D15</f>
        <v>1432.5</v>
      </c>
      <c r="E18" s="12">
        <f>E16-E15</f>
        <v>580</v>
      </c>
    </row>
    <row r="19" spans="2:5" x14ac:dyDescent="0.35">
      <c r="B19" s="7" t="s">
        <v>11</v>
      </c>
      <c r="C19" s="13">
        <f>C18/C16</f>
        <v>-6.7073170731707321E-2</v>
      </c>
      <c r="D19" s="13">
        <f>D18/D16</f>
        <v>6.1553335481791815E-2</v>
      </c>
      <c r="E19" s="13">
        <f>E18/E16</f>
        <v>2.4369747899159664E-2</v>
      </c>
    </row>
    <row r="20" spans="2:5" x14ac:dyDescent="0.35">
      <c r="B20" s="10"/>
      <c r="C20" s="10"/>
      <c r="D20" s="10"/>
      <c r="E20" s="10"/>
    </row>
    <row r="21" spans="2:5" x14ac:dyDescent="0.35">
      <c r="B21" s="7" t="s">
        <v>12</v>
      </c>
      <c r="C21" s="12">
        <f>(C11-C10)*C12</f>
        <v>-840</v>
      </c>
      <c r="D21" s="12">
        <f>(D11-D10)*D12</f>
        <v>630</v>
      </c>
      <c r="E21" s="12">
        <f>(E11-E10)*E12</f>
        <v>860</v>
      </c>
    </row>
    <row r="22" spans="2:5" x14ac:dyDescent="0.35">
      <c r="B22" s="7" t="s">
        <v>13</v>
      </c>
      <c r="C22" s="12">
        <f>(C13-C12)*C11</f>
        <v>-480</v>
      </c>
      <c r="D22" s="12">
        <f>(D13-D12)*D11</f>
        <v>802.5</v>
      </c>
      <c r="E22" s="12">
        <f>(E13-E12)*E11</f>
        <v>-280</v>
      </c>
    </row>
    <row r="23" spans="2:5" x14ac:dyDescent="0.35">
      <c r="B23" s="7" t="s">
        <v>14</v>
      </c>
      <c r="C23" s="12">
        <f>SUM(C21:C22)-C18</f>
        <v>0</v>
      </c>
      <c r="D23" s="12">
        <f>SUM(D21:D22)-D18</f>
        <v>0</v>
      </c>
      <c r="E23" s="12">
        <f>SUM(E21:E22)-E18</f>
        <v>0</v>
      </c>
    </row>
    <row r="26" spans="2:5" x14ac:dyDescent="0.35">
      <c r="B26" s="18" t="s">
        <v>15</v>
      </c>
      <c r="C26" s="19"/>
      <c r="D26" s="19"/>
      <c r="E26" s="19"/>
    </row>
    <row r="27" spans="2:5" x14ac:dyDescent="0.35">
      <c r="B27" s="7" t="s">
        <v>16</v>
      </c>
      <c r="C27" s="14">
        <v>1400</v>
      </c>
      <c r="D27" s="14">
        <v>1450</v>
      </c>
      <c r="E27" s="14">
        <v>1550</v>
      </c>
    </row>
    <row r="28" spans="2:5" x14ac:dyDescent="0.35">
      <c r="B28" s="7" t="s">
        <v>17</v>
      </c>
      <c r="C28" s="14">
        <v>1550</v>
      </c>
      <c r="D28" s="14">
        <v>1350</v>
      </c>
      <c r="E28" s="14">
        <v>1650</v>
      </c>
    </row>
    <row r="29" spans="2:5" x14ac:dyDescent="0.35">
      <c r="B29" s="7" t="s">
        <v>18</v>
      </c>
      <c r="C29" s="12">
        <f>C28-C27</f>
        <v>150</v>
      </c>
      <c r="D29" s="12">
        <f>D28-D27</f>
        <v>-100</v>
      </c>
      <c r="E29" s="12">
        <f>E28-E27</f>
        <v>100</v>
      </c>
    </row>
    <row r="30" spans="2:5" x14ac:dyDescent="0.35">
      <c r="B30" s="7" t="s">
        <v>19</v>
      </c>
      <c r="C30" s="14">
        <v>900</v>
      </c>
      <c r="D30" s="14">
        <v>900</v>
      </c>
      <c r="E30" s="14">
        <v>950</v>
      </c>
    </row>
    <row r="31" spans="2:5" x14ac:dyDescent="0.35">
      <c r="B31" s="7" t="s">
        <v>20</v>
      </c>
      <c r="C31" s="14">
        <v>850</v>
      </c>
      <c r="D31" s="14">
        <v>1000</v>
      </c>
      <c r="E31" s="14">
        <v>1000</v>
      </c>
    </row>
    <row r="32" spans="2:5" x14ac:dyDescent="0.35">
      <c r="B32" s="7" t="s">
        <v>21</v>
      </c>
      <c r="C32" s="12">
        <f>C31-C30</f>
        <v>-50</v>
      </c>
      <c r="D32" s="12">
        <f>D31-D30</f>
        <v>100</v>
      </c>
      <c r="E32" s="12">
        <f>E31-E30</f>
        <v>50</v>
      </c>
    </row>
    <row r="33" spans="2:5" x14ac:dyDescent="0.35">
      <c r="B33" s="7" t="s">
        <v>22</v>
      </c>
      <c r="C33" s="14">
        <v>600</v>
      </c>
      <c r="D33" s="14">
        <v>620</v>
      </c>
      <c r="E33" s="14">
        <v>650</v>
      </c>
    </row>
    <row r="34" spans="2:5" x14ac:dyDescent="0.35">
      <c r="B34" s="7" t="s">
        <v>23</v>
      </c>
      <c r="C34" s="14">
        <v>650</v>
      </c>
      <c r="D34" s="14">
        <v>600</v>
      </c>
      <c r="E34" s="14">
        <v>680</v>
      </c>
    </row>
    <row r="35" spans="2:5" x14ac:dyDescent="0.35">
      <c r="B35" s="7" t="s">
        <v>24</v>
      </c>
      <c r="C35" s="12">
        <f>C34-C33</f>
        <v>50</v>
      </c>
      <c r="D35" s="12">
        <f>D34-D33</f>
        <v>-20</v>
      </c>
      <c r="E35" s="12">
        <f>E34-E33</f>
        <v>30</v>
      </c>
    </row>
    <row r="36" spans="2:5" x14ac:dyDescent="0.35">
      <c r="B36" s="7" t="s">
        <v>25</v>
      </c>
      <c r="C36" s="14">
        <v>500</v>
      </c>
      <c r="D36" s="14">
        <v>500</v>
      </c>
      <c r="E36" s="14">
        <v>500</v>
      </c>
    </row>
    <row r="37" spans="2:5" x14ac:dyDescent="0.35">
      <c r="B37" s="7" t="s">
        <v>26</v>
      </c>
      <c r="C37" s="14">
        <v>490</v>
      </c>
      <c r="D37" s="14">
        <v>510</v>
      </c>
      <c r="E37" s="14">
        <v>520</v>
      </c>
    </row>
    <row r="38" spans="2:5" x14ac:dyDescent="0.35">
      <c r="B38" s="7" t="s">
        <v>27</v>
      </c>
      <c r="C38" s="12">
        <f>C37-C36</f>
        <v>-10</v>
      </c>
      <c r="D38" s="12">
        <f>D37-D36</f>
        <v>10</v>
      </c>
      <c r="E38" s="12">
        <f>E37-E36</f>
        <v>20</v>
      </c>
    </row>
    <row r="40" spans="2:5" ht="15" thickBot="1" x14ac:dyDescent="0.4">
      <c r="B40" s="2" t="s">
        <v>28</v>
      </c>
      <c r="C40" s="3">
        <f t="shared" ref="C40:E42" si="1">SUM(C27,C30,C33,C36)</f>
        <v>3400</v>
      </c>
      <c r="D40" s="3">
        <f t="shared" si="1"/>
        <v>3470</v>
      </c>
      <c r="E40" s="3">
        <f t="shared" si="1"/>
        <v>3650</v>
      </c>
    </row>
    <row r="41" spans="2:5" ht="15.5" thickTop="1" thickBot="1" x14ac:dyDescent="0.4">
      <c r="B41" s="2" t="s">
        <v>29</v>
      </c>
      <c r="C41" s="3">
        <f t="shared" si="1"/>
        <v>3540</v>
      </c>
      <c r="D41" s="3">
        <f t="shared" si="1"/>
        <v>3460</v>
      </c>
      <c r="E41" s="3">
        <f t="shared" si="1"/>
        <v>3850</v>
      </c>
    </row>
    <row r="42" spans="2:5" ht="15.5" thickTop="1" thickBot="1" x14ac:dyDescent="0.4">
      <c r="B42" s="2" t="s">
        <v>30</v>
      </c>
      <c r="C42" s="4">
        <f t="shared" si="1"/>
        <v>140</v>
      </c>
      <c r="D42" s="4">
        <f t="shared" si="1"/>
        <v>-10</v>
      </c>
      <c r="E42" s="4">
        <f t="shared" si="1"/>
        <v>200</v>
      </c>
    </row>
    <row r="43" spans="2:5" ht="15" thickTop="1" x14ac:dyDescent="0.35"/>
    <row r="45" spans="2:5" x14ac:dyDescent="0.35">
      <c r="B45" s="16" t="s">
        <v>31</v>
      </c>
      <c r="C45" s="17"/>
      <c r="D45" s="17"/>
      <c r="E45" s="17"/>
    </row>
    <row r="46" spans="2:5" x14ac:dyDescent="0.35">
      <c r="B46" s="7"/>
      <c r="C46" s="8" t="s">
        <v>32</v>
      </c>
      <c r="D46" s="8" t="s">
        <v>33</v>
      </c>
      <c r="E46" s="8" t="s">
        <v>34</v>
      </c>
    </row>
    <row r="47" spans="2:5" x14ac:dyDescent="0.35">
      <c r="B47" s="7" t="s">
        <v>35</v>
      </c>
      <c r="C47" s="9">
        <v>0.57999999999999996</v>
      </c>
      <c r="D47" s="9">
        <v>0.57999999999999996</v>
      </c>
      <c r="E47" s="10"/>
    </row>
    <row r="48" spans="2:5" x14ac:dyDescent="0.35">
      <c r="B48" s="10"/>
      <c r="C48" s="10"/>
      <c r="D48" s="10"/>
      <c r="E48" s="10"/>
    </row>
    <row r="49" spans="2:5" x14ac:dyDescent="0.35">
      <c r="B49" s="11" t="s">
        <v>36</v>
      </c>
      <c r="C49" s="12">
        <f>SUM(C15:E15)</f>
        <v>66060</v>
      </c>
      <c r="D49" s="12">
        <f>SUM(C16:E16)</f>
        <v>66752.5</v>
      </c>
      <c r="E49" s="12">
        <f>D49-C49</f>
        <v>692.5</v>
      </c>
    </row>
    <row r="50" spans="2:5" x14ac:dyDescent="0.35">
      <c r="B50" s="7" t="s">
        <v>37</v>
      </c>
      <c r="C50" s="12">
        <f>C49*C47</f>
        <v>38314.799999999996</v>
      </c>
      <c r="D50" s="12">
        <f>D49*D47</f>
        <v>38716.449999999997</v>
      </c>
      <c r="E50" s="12">
        <f>D50-C50</f>
        <v>401.65000000000146</v>
      </c>
    </row>
    <row r="51" spans="2:5" x14ac:dyDescent="0.35">
      <c r="B51" s="11" t="s">
        <v>38</v>
      </c>
      <c r="C51" s="12">
        <f>C49-C50</f>
        <v>27745.200000000004</v>
      </c>
      <c r="D51" s="12">
        <f>D49-D50</f>
        <v>28036.050000000003</v>
      </c>
      <c r="E51" s="12">
        <f>D51-C51</f>
        <v>290.84999999999854</v>
      </c>
    </row>
    <row r="52" spans="2:5" x14ac:dyDescent="0.35">
      <c r="B52" s="7" t="s">
        <v>39</v>
      </c>
      <c r="C52" s="12">
        <f>SUM(C40:E40)</f>
        <v>10520</v>
      </c>
      <c r="D52" s="12">
        <f>SUM(C41:E41)</f>
        <v>10850</v>
      </c>
      <c r="E52" s="12">
        <f>D52-C52</f>
        <v>330</v>
      </c>
    </row>
    <row r="53" spans="2:5" x14ac:dyDescent="0.35">
      <c r="B53" s="11" t="s">
        <v>40</v>
      </c>
      <c r="C53" s="12">
        <f>C51-C52</f>
        <v>17225.200000000004</v>
      </c>
      <c r="D53" s="12">
        <f>D51-D52</f>
        <v>17186.050000000003</v>
      </c>
      <c r="E53" s="12">
        <f>E51-E52</f>
        <v>-39.150000000001455</v>
      </c>
    </row>
    <row r="54" spans="2:5" x14ac:dyDescent="0.35">
      <c r="B54" s="7" t="s">
        <v>41</v>
      </c>
      <c r="C54" s="13">
        <f>C53/C49</f>
        <v>0.26075083257644571</v>
      </c>
      <c r="D54" s="13">
        <f>D53/D49</f>
        <v>0.25745927118834505</v>
      </c>
      <c r="E54" s="13">
        <f>E53/E49</f>
        <v>-5.653429602888297E-2</v>
      </c>
    </row>
  </sheetData>
  <mergeCells count="4">
    <mergeCell ref="B45:E45"/>
    <mergeCell ref="B26:E26"/>
    <mergeCell ref="B9:E9"/>
    <mergeCell ref="B3:C3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Variance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Irfan Sadique</cp:lastModifiedBy>
  <cp:lastPrinted>2026-09-18T10:54:02Z</cp:lastPrinted>
  <dcterms:created xsi:type="dcterms:W3CDTF">2026-09-18T10:07:13Z</dcterms:created>
  <dcterms:modified xsi:type="dcterms:W3CDTF">2026-09-22T14:39:22Z</dcterms:modified>
</cp:coreProperties>
</file>